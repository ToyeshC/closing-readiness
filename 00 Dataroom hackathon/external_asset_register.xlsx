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i val="1"/>
      <color rgb="00555555"/>
      <sz val="9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474D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vertical="top"/>
    </xf>
    <xf numFmtId="0" fontId="5" fillId="0" borderId="0" pivotButton="0" quotePrefix="0" xfId="0"/>
    <xf numFmtId="4" fontId="5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20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40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  <col width="11" customWidth="1" min="10" max="10"/>
    <col width="10" customWidth="1" min="11" max="11"/>
    <col width="10" customWidth="1" min="12" max="12"/>
    <col width="28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16" customWidth="1" min="19" max="19"/>
    <col width="52" customWidth="1" min="20" max="20"/>
  </cols>
  <sheetData>
    <row r="2">
      <c r="B2" s="1" t="inlineStr">
        <is>
          <t>External fixed-asset register</t>
        </is>
      </c>
    </row>
    <row r="3">
      <c r="B3" s="2" t="inlineStr">
        <is>
          <t>Fietsatelier Morgenwind B.V. | period: 2024–2025 | maintained outside Exact Online</t>
        </is>
      </c>
    </row>
    <row r="4" ht="36" customHeight="1">
      <c r="B4" s="3" t="inlineStr">
        <is>
          <t>Source: external asset master list maintained by accountant. Some entries are also in Exact (in_exact_register=TRUE), others are purchased/expensed in Exact but not yet capitalised (in_exact_register=FALSE). Use this list to reconcile to Exact GL 105/265/555 and depreciation GL 4220/4246/4275.</t>
        </is>
      </c>
    </row>
    <row r="6" ht="32" customHeight="1">
      <c r="B6" s="4" t="inlineStr">
        <is>
          <t>Asset ID</t>
        </is>
      </c>
      <c r="C6" s="4" t="inlineStr">
        <is>
          <t>Category</t>
        </is>
      </c>
      <c r="D6" s="4" t="inlineStr">
        <is>
          <t>Description</t>
        </is>
      </c>
      <c r="E6" s="4" t="inlineStr">
        <is>
          <t>In Exact register</t>
        </is>
      </c>
      <c r="F6" s="4" t="inlineStr">
        <is>
          <t>Exact asset GL</t>
        </is>
      </c>
      <c r="G6" s="4" t="inlineStr">
        <is>
          <t>Exact depreciation GL</t>
        </is>
      </c>
      <c r="H6" s="4" t="inlineStr">
        <is>
          <t>Acquisition date</t>
        </is>
      </c>
      <c r="I6" s="4" t="inlineStr">
        <is>
          <t>Acquisition cost (EUR)</t>
        </is>
      </c>
      <c r="J6" s="4" t="inlineStr">
        <is>
          <t>Useful life (yrs)</t>
        </is>
      </c>
      <c r="K6" s="4" t="inlineStr">
        <is>
          <t>Residual</t>
        </is>
      </c>
      <c r="L6" s="4" t="inlineStr">
        <is>
          <t>Method</t>
        </is>
      </c>
      <c r="M6" s="4" t="inlineStr">
        <is>
          <t>Status</t>
        </is>
      </c>
      <c r="N6" s="4" t="inlineStr">
        <is>
          <t>Annual dep 2024</t>
        </is>
      </c>
      <c r="O6" s="4" t="inlineStr">
        <is>
          <t>Annual dep 2025</t>
        </is>
      </c>
      <c r="P6" s="4" t="inlineStr">
        <is>
          <t>Cum dep 31-12-2024</t>
        </is>
      </c>
      <c r="Q6" s="4" t="inlineStr">
        <is>
          <t>Cum dep 31-12-2025</t>
        </is>
      </c>
      <c r="R6" s="4" t="inlineStr">
        <is>
          <t>NBV 31-12-2024</t>
        </is>
      </c>
      <c r="S6" s="4" t="inlineStr">
        <is>
          <t>NBV 31-12-2025</t>
        </is>
      </c>
      <c r="T6" s="4" t="inlineStr">
        <is>
          <t>Reconciliation note</t>
        </is>
      </c>
    </row>
    <row r="7" ht="30" customHeight="1">
      <c r="B7" s="5" t="inlineStr">
        <is>
          <t>FA-2019-0001</t>
        </is>
      </c>
      <c r="C7" s="5" t="inlineStr">
        <is>
          <t>Inventaris</t>
        </is>
      </c>
      <c r="D7" s="6" t="inlineStr">
        <is>
          <t>Werkplaatsinrichting hoofdvestiging</t>
        </is>
      </c>
      <c r="E7" s="5" t="inlineStr">
        <is>
          <t>TRUE</t>
        </is>
      </c>
      <c r="F7" s="7" t="n">
        <v>105</v>
      </c>
      <c r="G7" s="7" t="n">
        <v>4220</v>
      </c>
      <c r="H7" s="8" t="n">
        <v>43556</v>
      </c>
      <c r="I7" s="7" t="n">
        <v>68000</v>
      </c>
      <c r="J7" s="5" t="n">
        <v>10</v>
      </c>
      <c r="K7" s="7" t="n">
        <v>0</v>
      </c>
      <c r="L7" s="5" t="inlineStr">
        <is>
          <t>SL</t>
        </is>
      </c>
      <c r="M7" s="6" t="inlineStr">
        <is>
          <t>Active</t>
        </is>
      </c>
      <c r="N7" s="7" t="n">
        <v>6800</v>
      </c>
      <c r="O7" s="7" t="n">
        <v>6800</v>
      </c>
      <c r="P7" s="7" t="n">
        <v>39100</v>
      </c>
      <c r="Q7" s="7" t="n">
        <v>45900</v>
      </c>
      <c r="R7" s="7" t="n">
        <v>28900</v>
      </c>
      <c r="S7" s="7" t="n">
        <v>22100</v>
      </c>
      <c r="T7" s="6" t="inlineStr">
        <is>
          <t>Matches booked GL 105 / dep 4220. Annual dep 6,800.</t>
        </is>
      </c>
    </row>
    <row r="8" ht="30" customHeight="1">
      <c r="B8" s="5" t="inlineStr">
        <is>
          <t>FA-2020-0002</t>
        </is>
      </c>
      <c r="C8" s="5" t="inlineStr">
        <is>
          <t>Inventaris</t>
        </is>
      </c>
      <c r="D8" s="6" t="inlineStr">
        <is>
          <t>Showroom inrichting + verlichting</t>
        </is>
      </c>
      <c r="E8" s="5" t="inlineStr">
        <is>
          <t>TRUE</t>
        </is>
      </c>
      <c r="F8" s="7" t="n">
        <v>105</v>
      </c>
      <c r="G8" s="7" t="n">
        <v>4220</v>
      </c>
      <c r="H8" s="8" t="n">
        <v>43997</v>
      </c>
      <c r="I8" s="7" t="n">
        <v>34000</v>
      </c>
      <c r="J8" s="5" t="n">
        <v>10</v>
      </c>
      <c r="K8" s="7" t="n">
        <v>0</v>
      </c>
      <c r="L8" s="5" t="inlineStr">
        <is>
          <t>SL</t>
        </is>
      </c>
      <c r="M8" s="6" t="inlineStr">
        <is>
          <t>Active</t>
        </is>
      </c>
      <c r="N8" s="7" t="n">
        <v>3400</v>
      </c>
      <c r="O8" s="7" t="n">
        <v>3400</v>
      </c>
      <c r="P8" s="7" t="n">
        <v>15583.33</v>
      </c>
      <c r="Q8" s="7" t="n">
        <v>18983.33</v>
      </c>
      <c r="R8" s="7" t="n">
        <v>18416.67</v>
      </c>
      <c r="S8" s="7" t="n">
        <v>15016.67</v>
      </c>
      <c r="T8" s="6" t="inlineStr">
        <is>
          <t>Matches booked GL 105. Annual dep 3,400.</t>
        </is>
      </c>
    </row>
    <row r="9" ht="30" customHeight="1">
      <c r="B9" s="5" t="inlineStr">
        <is>
          <t>FA-2018-0003</t>
        </is>
      </c>
      <c r="C9" s="5" t="inlineStr">
        <is>
          <t>Transportmiddelen</t>
        </is>
      </c>
      <c r="D9" s="6" t="inlineStr">
        <is>
          <t>Bedrijfsbus Renault Master fictief 1</t>
        </is>
      </c>
      <c r="E9" s="5" t="inlineStr">
        <is>
          <t>TRUE</t>
        </is>
      </c>
      <c r="F9" s="7" t="n">
        <v>265</v>
      </c>
      <c r="G9" s="7" t="n">
        <v>4246</v>
      </c>
      <c r="H9" s="8" t="n">
        <v>43344</v>
      </c>
      <c r="I9" s="7" t="n">
        <v>25200</v>
      </c>
      <c r="J9" s="5" t="n">
        <v>5</v>
      </c>
      <c r="K9" s="7" t="n">
        <v>0</v>
      </c>
      <c r="L9" s="5" t="inlineStr">
        <is>
          <t>SL</t>
        </is>
      </c>
      <c r="M9" s="6" t="inlineStr">
        <is>
          <t>Fully depreciated; still in use</t>
        </is>
      </c>
      <c r="N9" s="7" t="n">
        <v>0</v>
      </c>
      <c r="O9" s="7" t="n">
        <v>0</v>
      </c>
      <c r="P9" s="7" t="n">
        <v>21840</v>
      </c>
      <c r="Q9" s="7" t="n">
        <v>21840</v>
      </c>
      <c r="R9" s="7" t="n">
        <v>3360</v>
      </c>
      <c r="S9" s="7" t="n">
        <v>3360</v>
      </c>
      <c r="T9" s="6" t="inlineStr">
        <is>
          <t>Matches booked GL 265. Note: booked dep continues at 5,040/yr but asset fully depreciated end of 2023 — over-depreciation flag.</t>
        </is>
      </c>
    </row>
    <row r="10" ht="30" customHeight="1">
      <c r="B10" s="5" t="inlineStr">
        <is>
          <t>FA-2021-0004</t>
        </is>
      </c>
      <c r="C10" s="5" t="inlineStr">
        <is>
          <t>Ontwikkelkosten</t>
        </is>
      </c>
      <c r="D10" s="6" t="inlineStr">
        <is>
          <t>Webshopontwikkeling fase 1</t>
        </is>
      </c>
      <c r="E10" s="5" t="inlineStr">
        <is>
          <t>TRUE</t>
        </is>
      </c>
      <c r="F10" s="7" t="n">
        <v>555</v>
      </c>
      <c r="G10" s="7" t="n">
        <v>4275</v>
      </c>
      <c r="H10" s="8" t="n">
        <v>44228</v>
      </c>
      <c r="I10" s="7" t="n">
        <v>18600</v>
      </c>
      <c r="J10" s="5" t="n">
        <v>5</v>
      </c>
      <c r="K10" s="7" t="n">
        <v>0</v>
      </c>
      <c r="L10" s="5" t="inlineStr">
        <is>
          <t>SL</t>
        </is>
      </c>
      <c r="M10" s="6" t="inlineStr">
        <is>
          <t>Active</t>
        </is>
      </c>
      <c r="N10" s="7" t="n">
        <v>3720</v>
      </c>
      <c r="O10" s="7" t="n">
        <v>3720</v>
      </c>
      <c r="P10" s="7" t="n">
        <v>14570</v>
      </c>
      <c r="Q10" s="7" t="n">
        <v>18290</v>
      </c>
      <c r="R10" s="7" t="n">
        <v>4030</v>
      </c>
      <c r="S10" s="7" t="n">
        <v>310</v>
      </c>
      <c r="T10" s="6" t="inlineStr">
        <is>
          <t>Matches booked GL 555 / dep 4275.</t>
        </is>
      </c>
    </row>
    <row r="11" ht="30" customHeight="1">
      <c r="B11" s="5" t="inlineStr">
        <is>
          <t>FA-2024-0010</t>
        </is>
      </c>
      <c r="C11" s="5" t="inlineStr">
        <is>
          <t>Inventaris</t>
        </is>
      </c>
      <c r="D11" s="6" t="inlineStr">
        <is>
          <t>Werkplaatscompressor Atlas (fictief model)</t>
        </is>
      </c>
      <c r="E11" s="5" t="inlineStr">
        <is>
          <t>FALSE</t>
        </is>
      </c>
      <c r="F11" s="7" t="n">
        <v/>
      </c>
      <c r="G11" s="7" t="n">
        <v/>
      </c>
      <c r="H11" s="8" t="n">
        <v>45334</v>
      </c>
      <c r="I11" s="7" t="n">
        <v>3850</v>
      </c>
      <c r="J11" s="5" t="n">
        <v>10</v>
      </c>
      <c r="K11" s="7" t="n">
        <v>0</v>
      </c>
      <c r="L11" s="5" t="inlineStr">
        <is>
          <t>SL</t>
        </is>
      </c>
      <c r="M11" s="6" t="inlineStr">
        <is>
          <t>In use</t>
        </is>
      </c>
      <c r="N11" s="7" t="n">
        <v>352.92</v>
      </c>
      <c r="O11" s="7" t="n">
        <v>385</v>
      </c>
      <c r="P11" s="7" t="n">
        <v>352.92</v>
      </c>
      <c r="Q11" s="7" t="n">
        <v>737.92</v>
      </c>
      <c r="R11" s="7" t="n">
        <v>3497.08</v>
      </c>
      <c r="S11" s="7" t="n">
        <v>3112.08</v>
      </c>
      <c r="T11" s="6" t="inlineStr">
        <is>
          <t>Paid via bank to Werkplaatsbenodigdheden Westerveld. Booked to 4666 maintenance — should be capitalised.</t>
        </is>
      </c>
    </row>
    <row r="12" ht="30" customHeight="1">
      <c r="B12" s="5" t="inlineStr">
        <is>
          <t>FA-2024-0011</t>
        </is>
      </c>
      <c r="C12" s="5" t="inlineStr">
        <is>
          <t>Inventaris</t>
        </is>
      </c>
      <c r="D12" s="6" t="inlineStr">
        <is>
          <t>2x hydraulische werkplaatslift</t>
        </is>
      </c>
      <c r="E12" s="5" t="inlineStr">
        <is>
          <t>FALSE</t>
        </is>
      </c>
      <c r="F12" s="7" t="n">
        <v/>
      </c>
      <c r="G12" s="7" t="n">
        <v/>
      </c>
      <c r="H12" s="8" t="n">
        <v>45420</v>
      </c>
      <c r="I12" s="7" t="n">
        <v>7200</v>
      </c>
      <c r="J12" s="5" t="n">
        <v>10</v>
      </c>
      <c r="K12" s="7" t="n">
        <v>0</v>
      </c>
      <c r="L12" s="5" t="inlineStr">
        <is>
          <t>SL</t>
        </is>
      </c>
      <c r="M12" s="6" t="inlineStr">
        <is>
          <t>In use</t>
        </is>
      </c>
      <c r="N12" s="7" t="n">
        <v>480</v>
      </c>
      <c r="O12" s="7" t="n">
        <v>720</v>
      </c>
      <c r="P12" s="7" t="n">
        <v>480</v>
      </c>
      <c r="Q12" s="7" t="n">
        <v>1200</v>
      </c>
      <c r="R12" s="7" t="n">
        <v>6720</v>
      </c>
      <c r="S12" s="7" t="n">
        <v>6000</v>
      </c>
      <c r="T12" s="6" t="inlineStr">
        <is>
          <t>Combined invoice from Atelier Tools NL B.V. expensed to 4666 instead of capitalised.</t>
        </is>
      </c>
    </row>
    <row r="13" ht="30" customHeight="1">
      <c r="B13" s="5" t="inlineStr">
        <is>
          <t>FA-2024-0012</t>
        </is>
      </c>
      <c r="C13" s="5" t="inlineStr">
        <is>
          <t>Inventaris</t>
        </is>
      </c>
      <c r="D13" s="6" t="inlineStr">
        <is>
          <t>Bosch eBike diagnose-scanner</t>
        </is>
      </c>
      <c r="E13" s="5" t="inlineStr">
        <is>
          <t>FALSE</t>
        </is>
      </c>
      <c r="F13" s="7" t="n">
        <v/>
      </c>
      <c r="G13" s="7" t="n">
        <v/>
      </c>
      <c r="H13" s="8" t="n">
        <v>45524</v>
      </c>
      <c r="I13" s="7" t="n">
        <v>2150</v>
      </c>
      <c r="J13" s="5" t="n">
        <v>5</v>
      </c>
      <c r="K13" s="7" t="n">
        <v>0</v>
      </c>
      <c r="L13" s="5" t="inlineStr">
        <is>
          <t>SL</t>
        </is>
      </c>
      <c r="M13" s="6" t="inlineStr">
        <is>
          <t>In use</t>
        </is>
      </c>
      <c r="N13" s="7" t="n">
        <v>179.17</v>
      </c>
      <c r="O13" s="7" t="n">
        <v>430</v>
      </c>
      <c r="P13" s="7" t="n">
        <v>179.17</v>
      </c>
      <c r="Q13" s="7" t="n">
        <v>609.17</v>
      </c>
      <c r="R13" s="7" t="n">
        <v>1970.83</v>
      </c>
      <c r="S13" s="7" t="n">
        <v>1540.83</v>
      </c>
      <c r="T13" s="6" t="inlineStr">
        <is>
          <t>Booked as 4666; characteristic of capex tooling.</t>
        </is>
      </c>
    </row>
    <row r="14" ht="30" customHeight="1">
      <c r="B14" s="5" t="inlineStr">
        <is>
          <t>FA-2024-0013</t>
        </is>
      </c>
      <c r="C14" s="5" t="inlineStr">
        <is>
          <t>Ontwikkelkosten</t>
        </is>
      </c>
      <c r="D14" s="6" t="inlineStr">
        <is>
          <t>Webshop SEO/headless module fase 2</t>
        </is>
      </c>
      <c r="E14" s="5" t="inlineStr">
        <is>
          <t>FALSE</t>
        </is>
      </c>
      <c r="F14" s="7" t="n">
        <v/>
      </c>
      <c r="G14" s="7" t="n">
        <v/>
      </c>
      <c r="H14" s="8" t="n">
        <v>45601</v>
      </c>
      <c r="I14" s="7" t="n">
        <v>9800</v>
      </c>
      <c r="J14" s="5" t="n">
        <v>5</v>
      </c>
      <c r="K14" s="7" t="n">
        <v>0</v>
      </c>
      <c r="L14" s="5" t="inlineStr">
        <is>
          <t>SL</t>
        </is>
      </c>
      <c r="M14" s="6" t="inlineStr">
        <is>
          <t>In use</t>
        </is>
      </c>
      <c r="N14" s="7" t="n">
        <v>326.67</v>
      </c>
      <c r="O14" s="7" t="n">
        <v>1960</v>
      </c>
      <c r="P14" s="7" t="n">
        <v>326.67</v>
      </c>
      <c r="Q14" s="7" t="n">
        <v>2286.67</v>
      </c>
      <c r="R14" s="7" t="n">
        <v>9473.33</v>
      </c>
      <c r="S14" s="7" t="n">
        <v>7513.33</v>
      </c>
      <c r="T14" s="6" t="inlineStr">
        <is>
          <t>Consultant invoice expensed to 4740 IT/automatisering. Should be capitalised under 555 (intangible dev).</t>
        </is>
      </c>
    </row>
    <row r="15" ht="30" customHeight="1">
      <c r="B15" s="5" t="inlineStr">
        <is>
          <t>FA-2025-0014</t>
        </is>
      </c>
      <c r="C15" s="5" t="inlineStr">
        <is>
          <t>Inventaris</t>
        </is>
      </c>
      <c r="D15" s="6" t="inlineStr">
        <is>
          <t>E-bike testvloot 3x (Riese &amp; Müller / Stromer)</t>
        </is>
      </c>
      <c r="E15" s="5" t="inlineStr">
        <is>
          <t>FALSE</t>
        </is>
      </c>
      <c r="F15" s="7" t="n">
        <v/>
      </c>
      <c r="G15" s="7" t="n">
        <v/>
      </c>
      <c r="H15" s="8" t="n">
        <v>45730</v>
      </c>
      <c r="I15" s="7" t="n">
        <v>14250</v>
      </c>
      <c r="J15" s="5" t="n">
        <v>4</v>
      </c>
      <c r="K15" s="7" t="n">
        <v>0</v>
      </c>
      <c r="L15" s="5" t="inlineStr">
        <is>
          <t>SL</t>
        </is>
      </c>
      <c r="M15" s="6" t="inlineStr">
        <is>
          <t>In use</t>
        </is>
      </c>
      <c r="N15" s="7" t="n">
        <v>0</v>
      </c>
      <c r="O15" s="7" t="n">
        <v>2968.75</v>
      </c>
      <c r="P15" s="7" t="n">
        <v>0</v>
      </c>
      <c r="Q15" s="7" t="n">
        <v>2968.75</v>
      </c>
      <c r="R15" s="7" t="n">
        <v>14250</v>
      </c>
      <c r="S15" s="7" t="n">
        <v>11281.25</v>
      </c>
      <c r="T15" s="6" t="inlineStr">
        <is>
          <t>Three e-bikes purchased for testfleet; expensed via supplier invoice 4666 maintenance / mixed.</t>
        </is>
      </c>
    </row>
    <row r="16" ht="30" customHeight="1">
      <c r="B16" s="5" t="inlineStr">
        <is>
          <t>FA-2025-0015</t>
        </is>
      </c>
      <c r="C16" s="5" t="inlineStr">
        <is>
          <t>Inventaris</t>
        </is>
      </c>
      <c r="D16" s="6" t="inlineStr">
        <is>
          <t>iPad POS-terminal 2x + dock (Apple/Square)</t>
        </is>
      </c>
      <c r="E16" s="5" t="inlineStr">
        <is>
          <t>FALSE</t>
        </is>
      </c>
      <c r="F16" s="7" t="n">
        <v/>
      </c>
      <c r="G16" s="7" t="n">
        <v/>
      </c>
      <c r="H16" s="8" t="n">
        <v>45769</v>
      </c>
      <c r="I16" s="7" t="n">
        <v>2480</v>
      </c>
      <c r="J16" s="5" t="n">
        <v>4</v>
      </c>
      <c r="K16" s="7" t="n">
        <v>0</v>
      </c>
      <c r="L16" s="5" t="inlineStr">
        <is>
          <t>SL</t>
        </is>
      </c>
      <c r="M16" s="6" t="inlineStr">
        <is>
          <t>In use</t>
        </is>
      </c>
      <c r="N16" s="7" t="n">
        <v>0</v>
      </c>
      <c r="O16" s="7" t="n">
        <v>465</v>
      </c>
      <c r="P16" s="7" t="n">
        <v>0</v>
      </c>
      <c r="Q16" s="7" t="n">
        <v>465</v>
      </c>
      <c r="R16" s="7" t="n">
        <v>2480</v>
      </c>
      <c r="S16" s="7" t="n">
        <v>2015</v>
      </c>
      <c r="T16" s="6" t="inlineStr">
        <is>
          <t>Booked to 4740; expense vs capex threshold borderline (&gt;EUR 1,000 internal policy → capex).</t>
        </is>
      </c>
    </row>
    <row r="17" ht="30" customHeight="1">
      <c r="B17" s="5" t="inlineStr">
        <is>
          <t>FA-2025-0016</t>
        </is>
      </c>
      <c r="C17" s="5" t="inlineStr">
        <is>
          <t>Transportmiddelen</t>
        </is>
      </c>
      <c r="D17" s="6" t="inlineStr">
        <is>
          <t>Bakfiets Urban Arrow Cargo XL fictief</t>
        </is>
      </c>
      <c r="E17" s="5" t="inlineStr">
        <is>
          <t>FALSE</t>
        </is>
      </c>
      <c r="F17" s="7" t="n">
        <v/>
      </c>
      <c r="G17" s="7" t="n">
        <v/>
      </c>
      <c r="H17" s="8" t="n">
        <v>45818</v>
      </c>
      <c r="I17" s="7" t="n">
        <v>6300</v>
      </c>
      <c r="J17" s="5" t="n">
        <v>5</v>
      </c>
      <c r="K17" s="7" t="n">
        <v>0</v>
      </c>
      <c r="L17" s="5" t="inlineStr">
        <is>
          <t>SL</t>
        </is>
      </c>
      <c r="M17" s="6" t="inlineStr">
        <is>
          <t>In use</t>
        </is>
      </c>
      <c r="N17" s="7" t="n">
        <v>0</v>
      </c>
      <c r="O17" s="7" t="n">
        <v>735</v>
      </c>
      <c r="P17" s="7" t="n">
        <v>0</v>
      </c>
      <c r="Q17" s="7" t="n">
        <v>735</v>
      </c>
      <c r="R17" s="7" t="n">
        <v>6300</v>
      </c>
      <c r="S17" s="7" t="n">
        <v>5565</v>
      </c>
      <c r="T17" s="6" t="inlineStr">
        <is>
          <t>Bedrijfsfiets used for service runs; expensed to 4666.</t>
        </is>
      </c>
    </row>
    <row r="18" ht="30" customHeight="1">
      <c r="B18" s="5" t="inlineStr">
        <is>
          <t>FA-2025-0017</t>
        </is>
      </c>
      <c r="C18" s="5" t="inlineStr">
        <is>
          <t>Inventaris</t>
        </is>
      </c>
      <c r="D18" s="6" t="inlineStr">
        <is>
          <t>Werkbankset + gereedschap winterronde</t>
        </is>
      </c>
      <c r="E18" s="5" t="inlineStr">
        <is>
          <t>FALSE</t>
        </is>
      </c>
      <c r="F18" s="7" t="n">
        <v/>
      </c>
      <c r="G18" s="7" t="n">
        <v/>
      </c>
      <c r="H18" s="8" t="n">
        <v>45930</v>
      </c>
      <c r="I18" s="7" t="n">
        <v>3120</v>
      </c>
      <c r="J18" s="5" t="n">
        <v>8</v>
      </c>
      <c r="K18" s="7" t="n">
        <v>0</v>
      </c>
      <c r="L18" s="5" t="inlineStr">
        <is>
          <t>SL</t>
        </is>
      </c>
      <c r="M18" s="6" t="inlineStr">
        <is>
          <t>In use</t>
        </is>
      </c>
      <c r="N18" s="7" t="n">
        <v>0</v>
      </c>
      <c r="O18" s="7" t="n">
        <v>130</v>
      </c>
      <c r="P18" s="7" t="n">
        <v>0</v>
      </c>
      <c r="Q18" s="7" t="n">
        <v>130</v>
      </c>
      <c r="R18" s="7" t="n">
        <v>3120</v>
      </c>
      <c r="S18" s="7" t="n">
        <v>2990</v>
      </c>
      <c r="T18" s="6" t="inlineStr">
        <is>
          <t>Paid via bank to Atelier Tools NL; below per-item capex threshold but aggregated set should be capitalised.</t>
        </is>
      </c>
    </row>
    <row r="19" ht="30" customHeight="1">
      <c r="B19" s="5" t="inlineStr">
        <is>
          <t>FA-2017-0099</t>
        </is>
      </c>
      <c r="C19" s="5" t="inlineStr">
        <is>
          <t>Inventaris</t>
        </is>
      </c>
      <c r="D19" s="6" t="inlineStr">
        <is>
          <t>Oude balie + kassa unit (afgeschreven)</t>
        </is>
      </c>
      <c r="E19" s="5" t="inlineStr">
        <is>
          <t>TRUE</t>
        </is>
      </c>
      <c r="F19" s="7" t="n">
        <v>105</v>
      </c>
      <c r="G19" s="7" t="n">
        <v>4220</v>
      </c>
      <c r="H19" s="8" t="n">
        <v>42750</v>
      </c>
      <c r="I19" s="7" t="n">
        <v>4500</v>
      </c>
      <c r="J19" s="5" t="n">
        <v>10</v>
      </c>
      <c r="K19" s="7" t="n">
        <v>0</v>
      </c>
      <c r="L19" s="5" t="inlineStr">
        <is>
          <t>SL</t>
        </is>
      </c>
      <c r="M19" s="6" t="inlineStr">
        <is>
          <t>Disposed 2024-Q3 — removal not booked</t>
        </is>
      </c>
      <c r="N19" s="7" t="n">
        <v>450</v>
      </c>
      <c r="O19" s="7" t="n">
        <v>450</v>
      </c>
      <c r="P19" s="7" t="n">
        <v>3600</v>
      </c>
      <c r="Q19" s="7" t="n">
        <v>4050</v>
      </c>
      <c r="R19" s="7" t="n">
        <v>900</v>
      </c>
      <c r="S19" s="7" t="n">
        <v>450</v>
      </c>
      <c r="T19" s="6" t="inlineStr">
        <is>
          <t>Discarded during showroom restyling but no disposal journal posted; cumulative dep still rolling.</t>
        </is>
      </c>
    </row>
    <row r="20">
      <c r="B20" s="9" t="inlineStr">
        <is>
          <t>TOTAL</t>
        </is>
      </c>
      <c r="I20" s="10">
        <f>SUM(I7:I19)</f>
        <v/>
      </c>
      <c r="N20" s="10">
        <f>SUM(N7:N19)</f>
        <v/>
      </c>
      <c r="O20" s="10">
        <f>SUM(O7:O19)</f>
        <v/>
      </c>
      <c r="P20" s="10">
        <f>SUM(P7:P19)</f>
        <v/>
      </c>
      <c r="Q20" s="10">
        <f>SUM(Q7:Q19)</f>
        <v/>
      </c>
      <c r="R20" s="10">
        <f>SUM(R7:R19)</f>
        <v/>
      </c>
      <c r="S20" s="10">
        <f>SUM(S7:S19)</f>
        <v/>
      </c>
    </row>
  </sheetData>
  <mergeCells count="1">
    <mergeCell ref="B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2">
      <c r="B2" s="1" t="inlineStr">
        <is>
          <t>Asset register reconciliation to Exact</t>
        </is>
      </c>
    </row>
    <row r="3">
      <c r="B3" s="2" t="inlineStr">
        <is>
          <t>Compare external register depreciation to Exact-booked depreciation per category and year.</t>
        </is>
      </c>
    </row>
    <row r="5" ht="38" customHeight="1">
      <c r="B5" s="4" t="inlineStr">
        <is>
          <t>Category</t>
        </is>
      </c>
      <c r="C5" s="4" t="inlineStr">
        <is>
          <t>Exact GLs</t>
        </is>
      </c>
      <c r="D5" s="4" t="inlineStr">
        <is>
          <t>Reg. dep 2024 (in Exact)</t>
        </is>
      </c>
      <c r="E5" s="4" t="inlineStr">
        <is>
          <t>Reg. dep 2025 (in Exact)</t>
        </is>
      </c>
      <c r="F5" s="4" t="inlineStr">
        <is>
          <t>Reg. dep 2024 (ghost)</t>
        </is>
      </c>
      <c r="G5" s="4" t="inlineStr">
        <is>
          <t>Reg. dep 2025 (ghost)</t>
        </is>
      </c>
      <c r="H5" s="4" t="inlineStr">
        <is>
          <t>Exact-booked dep 2024</t>
        </is>
      </c>
      <c r="I5" s="4" t="inlineStr">
        <is>
          <t>Exact-booked dep 2025</t>
        </is>
      </c>
      <c r="J5" s="4" t="inlineStr">
        <is>
          <t>Diff 2024 (in-Exact reg − booked)</t>
        </is>
      </c>
      <c r="K5" s="4" t="inlineStr">
        <is>
          <t>Diff 2025 (in-Exact reg − booked)</t>
        </is>
      </c>
      <c r="L5" s="4" t="inlineStr">
        <is>
          <t>Total reg dep 2024</t>
        </is>
      </c>
      <c r="M5" s="4" t="inlineStr">
        <is>
          <t>Total reg dep 2025</t>
        </is>
      </c>
    </row>
    <row r="6">
      <c r="B6" s="11" t="inlineStr">
        <is>
          <t>Inventaris</t>
        </is>
      </c>
      <c r="C6" s="11" t="inlineStr">
        <is>
          <t>GL 105 / dep 4220</t>
        </is>
      </c>
      <c r="D6" s="12" t="n">
        <v>10650</v>
      </c>
      <c r="E6" s="12" t="n">
        <v>10650</v>
      </c>
      <c r="F6" s="12" t="n">
        <v>1012.09</v>
      </c>
      <c r="G6" s="12" t="n">
        <v>5098.75</v>
      </c>
      <c r="H6" s="12" t="n">
        <v>10200</v>
      </c>
      <c r="I6" s="12" t="n">
        <v>10200</v>
      </c>
      <c r="J6" s="12" t="n">
        <v>450</v>
      </c>
      <c r="K6" s="12" t="n">
        <v>450</v>
      </c>
      <c r="L6" s="12" t="n">
        <v>11662.09</v>
      </c>
      <c r="M6" s="12" t="n">
        <v>15748.75</v>
      </c>
    </row>
    <row r="7">
      <c r="B7" s="11" t="inlineStr">
        <is>
          <t>Transportmiddelen</t>
        </is>
      </c>
      <c r="C7" s="11" t="inlineStr">
        <is>
          <t>GL 265 / dep 4246</t>
        </is>
      </c>
      <c r="D7" s="12" t="n">
        <v>0</v>
      </c>
      <c r="E7" s="12" t="n">
        <v>0</v>
      </c>
      <c r="F7" s="12" t="n">
        <v>0</v>
      </c>
      <c r="G7" s="12" t="n">
        <v>735</v>
      </c>
      <c r="H7" s="12" t="n">
        <v>5040</v>
      </c>
      <c r="I7" s="12" t="n">
        <v>5040</v>
      </c>
      <c r="J7" s="12" t="n">
        <v>-5040</v>
      </c>
      <c r="K7" s="12" t="n">
        <v>-5040</v>
      </c>
      <c r="L7" s="12" t="n">
        <v>0</v>
      </c>
      <c r="M7" s="12" t="n">
        <v>735</v>
      </c>
    </row>
    <row r="8">
      <c r="B8" s="11" t="inlineStr">
        <is>
          <t>Ontwikkelkosten</t>
        </is>
      </c>
      <c r="C8" s="11" t="inlineStr">
        <is>
          <t>GL 555 / dep 4275</t>
        </is>
      </c>
      <c r="D8" s="12" t="n">
        <v>3720</v>
      </c>
      <c r="E8" s="12" t="n">
        <v>3720</v>
      </c>
      <c r="F8" s="12" t="n">
        <v>326.67</v>
      </c>
      <c r="G8" s="12" t="n">
        <v>1960</v>
      </c>
      <c r="H8" s="12" t="n">
        <v>3720</v>
      </c>
      <c r="I8" s="12" t="n">
        <v>3720</v>
      </c>
      <c r="J8" s="12" t="n">
        <v>0</v>
      </c>
      <c r="K8" s="12" t="n">
        <v>0</v>
      </c>
      <c r="L8" s="12" t="n">
        <v>4046.67</v>
      </c>
      <c r="M8" s="12" t="n">
        <v>5680</v>
      </c>
    </row>
    <row r="10">
      <c r="B10" s="9" t="inlineStr">
        <is>
          <t>Notes</t>
        </is>
      </c>
    </row>
    <row r="11" ht="30" customHeight="1">
      <c r="B11" s="13" t="inlineStr">
        <is>
          <t>• Differences in 'Diff 2024/2025 (in-Exact reg − booked)' are caused by FA-2017-0099 (still rolling depreciation after physical disposal in 2024) and FA-2018-0003 (booked dep continues although asset is fully depreciated).</t>
        </is>
      </c>
    </row>
    <row r="12" ht="30" customHeight="1">
      <c r="B12" s="13" t="inlineStr">
        <is>
          <t>• Ghost assets are physically present and paid via bank but expensed to OPEX rather than capitalised. Their cumulative under-capitalisation impacts 105/265/555 balances and depreciation lines.</t>
        </is>
      </c>
    </row>
  </sheetData>
  <mergeCells count="2">
    <mergeCell ref="B12:L12"/>
    <mergeCell ref="B11:L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2026-05-09T11:21:40Z</dcterms:created>
  <dcterms:modified xmlns:dcterms="http://purl.org/dc/terms/" xmlns:xsi="http://www.w3.org/2001/XMLSchema-instance" xsi:type="dcterms:W3CDTF">2026-05-09T11:21:40Z</dcterms:modified>
</cp:coreProperties>
</file>